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ee83940e707e16/Documents/Certificates_Data IBM/Excel Basics for Data Analysis/Final Projects/"/>
    </mc:Choice>
  </mc:AlternateContent>
  <xr:revisionPtr revIDLastSave="46" documentId="13_ncr:1_{F468FCD0-010E-43F9-BC00-0B3634F8FDD4}" xr6:coauthVersionLast="47" xr6:coauthVersionMax="47" xr10:uidLastSave="{52D3729E-D1ED-474F-8508-7FBB88055B62}"/>
  <bookViews>
    <workbookView xWindow="-108" yWindow="-108" windowWidth="23256" windowHeight="13896" tabRatio="644" activeTab="3" xr2:uid="{00000000-000D-0000-FFFF-FFFF00000000}"/>
  </bookViews>
  <sheets>
    <sheet name="Montgomery_Fleet_Equipment_Inve" sheetId="1" r:id="rId1"/>
    <sheet name="Pivot Table 1" sheetId="4" r:id="rId2"/>
    <sheet name="Pivot Table 2" sheetId="5" r:id="rId3"/>
    <sheet name="Pivot Table 3" sheetId="6" r:id="rId4"/>
  </sheets>
  <definedNames>
    <definedName name="_xlnm._FilterDatabase" localSheetId="0" hidden="1">Montgomery_Fleet_Equipment_Inve!$A$1:$C$50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<sst xmlns="http://schemas.openxmlformats.org/spreadsheetml/2006/main" count="165" uniqueCount="37">
  <si>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</si>
  <si>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</si>
  <si>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</si>
  <si>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</si>
  <si>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</si>
  <si>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</si>
  <si>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</si>
  <si>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</si>
  <si>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</si>
  <si>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</si>
  <si>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</si>
  <si>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</si>
  <si>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</si>
  <si>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</si>
  <si>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</si>
  <si>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</si>
  <si>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</si>
  <si>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</si>
  <si>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</si>
  <si>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</si>
  <si>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</si>
  <si>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</si>
  <si>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</si>
  <si>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</si>
  <si>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</si>
  <si>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</si>
  <si>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</si>
  <si>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</si>
  <si>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</si>
  <si>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</si>
  <si>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MAX</t>
  </si>
  <si>
    <t>COUNT</t>
  </si>
  <si>
    <t>MIN</t>
  </si>
  <si>
    <t>AVERAGE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</si>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</sst>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ama Alzoabi" refreshedDate="46124.544327314812" createdVersion="8" refreshedVersion="8" minRefreshableVersion="3" recordCount="49" xr:uid="{176E576D-4F25-49D2-A968-BAA62A8B04FE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0A5E3-F658-43D8-B951-ABB6EB2A24F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25EA3-AF42-4733-88A6-4D203EBF852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50DE2-4E82-4261-AA37-AB556DD988E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7B7EB-2B71-4C3E-96EA-8D9ED698717D}" name="Table1" displayName="Table1" ref="A1:C50" totalsRowShown="0">
  <autoFilter ref="A1:C50" xr:uid="{2077B7EB-2B71-4C3E-96EA-8D9ED698717D}"/>
  <tableColumns count="3">
    <tableColumn id="1" xr3:uid="{B8C31C61-E377-4BFA-8F16-CECCAC61EFBB}" name="Department"/>
    <tableColumn id="2" xr3:uid="{0972DE1D-1BDE-4CB9-BC19-83ADF4FC3E9E}" name="Equipment Class"/>
    <tableColumn id="3" xr3:uid="{151A8717-5B6A-46A2-857C-1CFBF2D659E0}" name="Equipment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2" workbookViewId="0">
      <selection activeCell="A2" sqref="A2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2" spans="1:3" x14ac:dyDescent="0.3">
      <c r="B52" t="s">
        <v>29</v>
      </c>
      <c r="C52">
        <f>SUM(Table1[Equipment Count])</f>
        <v>1582</v>
      </c>
    </row>
    <row r="53" spans="1:3" x14ac:dyDescent="0.3">
      <c r="B53" t="s">
        <v>33</v>
      </c>
      <c r="C53">
        <f>AVERAGE(C2:C50)</f>
        <v>32.285714285714285</v>
      </c>
    </row>
    <row r="54" spans="1:3" x14ac:dyDescent="0.3">
      <c r="B54" t="s">
        <v>32</v>
      </c>
      <c r="C54">
        <f>MIN(C2:C50)</f>
        <v>1</v>
      </c>
    </row>
    <row r="55" spans="1:3" x14ac:dyDescent="0.3">
      <c r="B55" t="s">
        <v>30</v>
      </c>
      <c r="C55">
        <f>MAX(C2:C50)</f>
        <v>379</v>
      </c>
    </row>
    <row r="56" spans="1:3" x14ac:dyDescent="0.3">
      <c r="B56" t="s">
        <v>31</v>
      </c>
      <c r="C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5856-AE3A-4530-AB2C-B06E7A8144AE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>
        <v>1221</v>
      </c>
    </row>
    <row r="5" spans="1:2" x14ac:dyDescent="0.3">
      <c r="A5" s="2" t="s">
        <v>15</v>
      </c>
      <c r="B5">
        <v>109</v>
      </c>
    </row>
    <row r="6" spans="1:2" x14ac:dyDescent="0.3">
      <c r="A6" s="2" t="s">
        <v>19</v>
      </c>
      <c r="B6">
        <v>85</v>
      </c>
    </row>
    <row r="7" spans="1:2" x14ac:dyDescent="0.3">
      <c r="A7" s="2" t="s">
        <v>12</v>
      </c>
      <c r="B7">
        <v>56</v>
      </c>
    </row>
    <row r="8" spans="1:2" x14ac:dyDescent="0.3">
      <c r="A8" s="2" t="s">
        <v>5</v>
      </c>
      <c r="B8">
        <v>45</v>
      </c>
    </row>
    <row r="9" spans="1:2" x14ac:dyDescent="0.3">
      <c r="A9" s="2" t="s">
        <v>18</v>
      </c>
      <c r="B9">
        <v>35</v>
      </c>
    </row>
    <row r="10" spans="1:2" x14ac:dyDescent="0.3">
      <c r="A10" s="2" t="s">
        <v>25</v>
      </c>
      <c r="B10">
        <v>16</v>
      </c>
    </row>
    <row r="11" spans="1:2" x14ac:dyDescent="0.3">
      <c r="A11" s="2" t="s">
        <v>9</v>
      </c>
      <c r="B11">
        <v>6</v>
      </c>
    </row>
    <row r="12" spans="1:2" x14ac:dyDescent="0.3">
      <c r="A12" s="2" t="s">
        <v>24</v>
      </c>
      <c r="B12">
        <v>5</v>
      </c>
    </row>
    <row r="13" spans="1:2" x14ac:dyDescent="0.3">
      <c r="A13" s="2" t="s">
        <v>8</v>
      </c>
      <c r="B13">
        <v>2</v>
      </c>
    </row>
    <row r="14" spans="1:2" x14ac:dyDescent="0.3">
      <c r="A14" s="2" t="s">
        <v>14</v>
      </c>
      <c r="B14">
        <v>1</v>
      </c>
    </row>
    <row r="15" spans="1:2" x14ac:dyDescent="0.3">
      <c r="A15" s="2" t="s">
        <v>17</v>
      </c>
      <c r="B15">
        <v>1</v>
      </c>
    </row>
    <row r="16" spans="1:2" x14ac:dyDescent="0.3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2339-CA7D-44D0-A285-C100E3C3AFD9}">
  <dimension ref="A3:B25"/>
  <sheetViews>
    <sheetView workbookViewId="0">
      <selection activeCell="E17" sqref="E17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B0DF-6215-4484-96AE-871543A56D4D}">
  <dimension ref="A3:B21"/>
  <sheetViews>
    <sheetView tabSelected="1"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Alzoabi</cp:lastModifiedBy>
  <dcterms:created xsi:type="dcterms:W3CDTF">2020-09-01T17:18:12Z</dcterms:created>
  <dcterms:modified xsi:type="dcterms:W3CDTF">2026-04-12T10:10:28Z</dcterms:modified>
</cp:coreProperties>
</file>